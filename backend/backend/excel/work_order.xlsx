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4Dome" sheetId="1" state="visible" r:id="rId3"/>
    <sheet name="3Do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<sst xmlns="http://schemas.openxmlformats.org/spreadsheetml/2006/main" count="42" uniqueCount="21">
  <si>
    <t xml:space="preserve">altar_length</t>
  </si>
  <si>
    <t xml:space="preserve">altar_depth</t>
  </si>
  <si>
    <t xml:space="preserve">pillar_width</t>
  </si>
  <si>
    <t xml:space="preserve">pillar_height</t>
  </si>
  <si>
    <t xml:space="preserve">arch_ratio</t>
  </si>
  <si>
    <t xml:space="preserve">TL</t>
  </si>
  <si>
    <t xml:space="preserve">TSH</t>
  </si>
  <si>
    <t xml:space="preserve">OW</t>
  </si>
  <si>
    <t xml:space="preserve">INP</t>
  </si>
  <si>
    <t xml:space="preserve">BSH</t>
  </si>
  <si>
    <t xml:space="preserve">BSW</t>
  </si>
  <si>
    <t xml:space="preserve">INW</t>
  </si>
  <si>
    <t xml:space="preserve">INC</t>
  </si>
  <si>
    <t xml:space="preserve">RBL</t>
  </si>
  <si>
    <t xml:space="preserve">SL</t>
  </si>
  <si>
    <t xml:space="preserve">LP</t>
  </si>
  <si>
    <t xml:space="preserve">SW</t>
  </si>
  <si>
    <t xml:space="preserve">SH</t>
  </si>
  <si>
    <t xml:space="preserve">WP</t>
  </si>
  <si>
    <t xml:space="preserve">PH</t>
  </si>
  <si>
    <t xml:space="preserve">PL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</si>
</sst>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##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EFF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4"/>
    <col collapsed="false" customWidth="true" hidden="false" outlineLevel="0" max="5" min="4" style="1" width="14"/>
  </cols>
  <sheetData>
    <row r="1" customFormat="false" ht="15" hidden="false" customHeight="true" outlineLevel="0" collapsed="false">
      <c r="A1" s="2" t="s">
        <v>0</v>
      </c>
      <c r="D1" s="3" t="n">
        <v>42</v>
      </c>
      <c r="E1" s="4" t="n">
        <f aca="false">(D1-4*D3)/4</f>
        <v>7</v>
      </c>
    </row>
    <row r="2" customFormat="false" ht="15" hidden="false" customHeight="true" outlineLevel="0" collapsed="false">
      <c r="A2" s="2" t="s">
        <v>1</v>
      </c>
      <c r="D2" s="3" t="n">
        <v>22</v>
      </c>
      <c r="E2" s="4" t="n">
        <f aca="false">D3</f>
        <v>3.5</v>
      </c>
    </row>
    <row r="3" customFormat="false" ht="15" hidden="false" customHeight="true" outlineLevel="0" collapsed="false">
      <c r="A3" s="2" t="s">
        <v>2</v>
      </c>
      <c r="D3" s="3" t="n">
        <v>3.5</v>
      </c>
      <c r="E3" s="4" t="n">
        <f aca="false">D3/2</f>
        <v>1.75</v>
      </c>
    </row>
    <row r="4" customFormat="false" ht="15" hidden="false" customHeight="true" outlineLevel="0" collapsed="false">
      <c r="A4" s="2" t="s">
        <v>3</v>
      </c>
      <c r="D4" s="3" t="n">
        <v>25</v>
      </c>
      <c r="E4" s="4" t="n">
        <f aca="false">(D1-2*D3)/3</f>
        <v>11.6666666666667</v>
      </c>
    </row>
    <row r="5" customFormat="false" ht="15" hidden="false" customHeight="true" outlineLevel="0" collapsed="false">
      <c r="A5" s="2"/>
      <c r="D5" s="3" t="n">
        <v>0</v>
      </c>
      <c r="E5" s="4" t="n">
        <f aca="false">D3</f>
        <v>3.5</v>
      </c>
    </row>
    <row r="6" customFormat="false" ht="15" hidden="false" customHeight="true" outlineLevel="0" collapsed="false">
      <c r="A6" s="2" t="s">
        <v>4</v>
      </c>
      <c r="D6" s="3" t="n">
        <v>1.588</v>
      </c>
      <c r="E6" s="4" t="n">
        <f aca="false">D3</f>
        <v>3.5</v>
      </c>
    </row>
    <row r="7" customFormat="false" ht="15" hidden="false" customHeight="true" outlineLevel="0" collapsed="false">
      <c r="E7" s="4" t="n">
        <f aca="false">D2-2*D3</f>
        <v>15</v>
      </c>
    </row>
    <row r="8" customFormat="false" ht="15" hidden="false" customHeight="true" outlineLevel="0" collapsed="false">
      <c r="A8" s="5" t="s">
        <v>5</v>
      </c>
      <c r="E8" s="4" t="n">
        <f aca="false">D3/2</f>
        <v>1.75</v>
      </c>
    </row>
    <row r="9" customFormat="false" ht="15" hidden="false" customHeight="true" outlineLevel="0" collapsed="false">
      <c r="A9" s="5" t="s">
        <v>6</v>
      </c>
      <c r="E9" s="4" t="n">
        <f aca="false">D3/4</f>
        <v>0.875</v>
      </c>
    </row>
    <row r="10" customFormat="false" ht="15" hidden="false" customHeight="true" outlineLevel="0" collapsed="false">
      <c r="A10" s="5" t="s">
        <v>7</v>
      </c>
      <c r="E10" s="4" t="n">
        <f aca="false">D2</f>
        <v>22</v>
      </c>
    </row>
    <row r="11" customFormat="false" ht="15" hidden="false" customHeight="true" outlineLevel="0" collapsed="false">
      <c r="A11" s="5" t="s">
        <v>8</v>
      </c>
      <c r="E11" s="4" t="n">
        <f aca="false">D2</f>
        <v>22</v>
      </c>
    </row>
    <row r="12" customFormat="false" ht="15" hidden="false" customHeight="true" outlineLevel="0" collapsed="false">
      <c r="A12" s="5" t="s">
        <v>9</v>
      </c>
      <c r="E12" s="4" t="n">
        <f aca="false">D3/3.5</f>
        <v>1</v>
      </c>
    </row>
    <row r="13" customFormat="false" ht="15" hidden="false" customHeight="true" outlineLevel="0" collapsed="false">
      <c r="A13" s="5" t="s">
        <v>10</v>
      </c>
      <c r="E13" s="4" t="n">
        <f aca="false">D4*0.22</f>
        <v>5.5</v>
      </c>
    </row>
    <row r="14" customFormat="false" ht="15" hidden="false" customHeight="true" outlineLevel="0" collapsed="false">
      <c r="A14" s="5" t="s">
        <v>11</v>
      </c>
      <c r="E14" s="4" t="n">
        <f aca="false">D1-4*D3</f>
        <v>28</v>
      </c>
    </row>
    <row r="15" customFormat="false" ht="15" hidden="false" customHeight="true" outlineLevel="0" collapsed="false">
      <c r="A15" s="5" t="s">
        <v>12</v>
      </c>
      <c r="E15" s="4" t="n">
        <f aca="false">D4+D3</f>
        <v>28.5</v>
      </c>
    </row>
    <row r="16" customFormat="false" ht="15" hidden="false" customHeight="true" outlineLevel="0" collapsed="false">
      <c r="A16" s="5" t="s">
        <v>13</v>
      </c>
      <c r="E16" s="4" t="n">
        <f aca="false">D2</f>
        <v>22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5" t="s">
        <v>15</v>
      </c>
    </row>
    <row r="19" customFormat="false" ht="15" hidden="false" customHeight="true" outlineLevel="0" collapsed="false">
      <c r="A19" s="5" t="s">
        <v>16</v>
      </c>
    </row>
    <row r="20" customFormat="false" ht="15" hidden="false" customHeight="true" outlineLevel="0" collapsed="false">
      <c r="A20" s="5" t="s">
        <v>17</v>
      </c>
    </row>
    <row r="21" customFormat="false" ht="15" hidden="false" customHeight="true" outlineLevel="0" collapsed="false">
      <c r="A21" s="5" t="s">
        <v>18</v>
      </c>
    </row>
    <row r="22" customFormat="false" ht="15" hidden="false" customHeight="true" outlineLevel="0" collapsed="false">
      <c r="A22" s="5" t="s">
        <v>19</v>
      </c>
    </row>
    <row r="23" customFormat="false" ht="15" hidden="false" customHeight="true" outlineLevel="0" collapsed="false">
      <c r="A23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4"/>
    <col collapsed="false" customWidth="true" hidden="false" outlineLevel="0" max="5" min="4" style="1" width="14"/>
  </cols>
  <sheetData>
    <row r="1" customFormat="false" ht="15" hidden="false" customHeight="true" outlineLevel="0" collapsed="false">
      <c r="A1" s="2" t="s">
        <v>0</v>
      </c>
      <c r="D1" s="3" t="n">
        <v>0</v>
      </c>
      <c r="E1" s="4" t="n">
        <f aca="false">(D1-2*D3)/3</f>
        <v>0</v>
      </c>
    </row>
    <row r="2" customFormat="false" ht="15" hidden="false" customHeight="true" outlineLevel="0" collapsed="false">
      <c r="A2" s="2" t="s">
        <v>1</v>
      </c>
      <c r="D2" s="3" t="n">
        <v>0</v>
      </c>
      <c r="E2" s="4" t="n">
        <f aca="false">D3</f>
        <v>0</v>
      </c>
    </row>
    <row r="3" customFormat="false" ht="15" hidden="false" customHeight="true" outlineLevel="0" collapsed="false">
      <c r="A3" s="2" t="s">
        <v>2</v>
      </c>
      <c r="D3" s="3" t="n">
        <v>0</v>
      </c>
      <c r="E3" s="4" t="n">
        <f aca="false">D3/2</f>
        <v>0</v>
      </c>
    </row>
    <row r="4" customFormat="false" ht="15" hidden="false" customHeight="true" outlineLevel="0" collapsed="false">
      <c r="A4" s="2" t="s">
        <v>3</v>
      </c>
      <c r="D4" s="3" t="n">
        <v>0</v>
      </c>
      <c r="E4" s="4" t="n">
        <f aca="false">(D1-2*D3)/2</f>
        <v>0</v>
      </c>
    </row>
    <row r="5" customFormat="false" ht="15" hidden="false" customHeight="true" outlineLevel="0" collapsed="false">
      <c r="A5" s="2"/>
      <c r="D5" s="3" t="n">
        <v>0</v>
      </c>
      <c r="E5" s="4" t="n">
        <f aca="false">D3</f>
        <v>0</v>
      </c>
    </row>
    <row r="6" customFormat="false" ht="15" hidden="false" customHeight="true" outlineLevel="0" collapsed="false">
      <c r="A6" s="2" t="s">
        <v>4</v>
      </c>
      <c r="D6" s="3" t="n">
        <v>0</v>
      </c>
      <c r="E6" s="4" t="n">
        <f aca="false">D3</f>
        <v>0</v>
      </c>
    </row>
    <row r="7" customFormat="false" ht="15" hidden="false" customHeight="true" outlineLevel="0" collapsed="false">
      <c r="E7" s="4" t="n">
        <f aca="false">D2-2*D3</f>
        <v>0</v>
      </c>
    </row>
    <row r="8" customFormat="false" ht="15" hidden="false" customHeight="true" outlineLevel="0" collapsed="false">
      <c r="A8" s="5" t="s">
        <v>5</v>
      </c>
      <c r="E8" s="4" t="n">
        <f aca="false">D3/2</f>
        <v>0</v>
      </c>
    </row>
    <row r="9" customFormat="false" ht="15" hidden="false" customHeight="true" outlineLevel="0" collapsed="false">
      <c r="A9" s="5" t="s">
        <v>6</v>
      </c>
      <c r="E9" s="4" t="n">
        <f aca="false">D3/4</f>
        <v>0</v>
      </c>
    </row>
    <row r="10" customFormat="false" ht="15" hidden="false" customHeight="true" outlineLevel="0" collapsed="false">
      <c r="A10" s="5" t="s">
        <v>7</v>
      </c>
      <c r="E10" s="4" t="n">
        <f aca="false">D2</f>
        <v>0</v>
      </c>
    </row>
    <row r="11" customFormat="false" ht="15" hidden="false" customHeight="true" outlineLevel="0" collapsed="false">
      <c r="A11" s="5" t="s">
        <v>8</v>
      </c>
      <c r="E11" s="4" t="n">
        <f aca="false">D2</f>
        <v>0</v>
      </c>
    </row>
    <row r="12" customFormat="false" ht="15" hidden="false" customHeight="true" outlineLevel="0" collapsed="false">
      <c r="A12" s="5" t="s">
        <v>9</v>
      </c>
      <c r="E12" s="4" t="n">
        <f aca="false">D3/3.5</f>
        <v>0</v>
      </c>
    </row>
    <row r="13" customFormat="false" ht="15" hidden="false" customHeight="true" outlineLevel="0" collapsed="false">
      <c r="A13" s="5" t="s">
        <v>10</v>
      </c>
      <c r="E13" s="4" t="n">
        <f aca="false">D4*0.22</f>
        <v>0</v>
      </c>
    </row>
    <row r="14" customFormat="false" ht="15" hidden="false" customHeight="true" outlineLevel="0" collapsed="false">
      <c r="A14" s="5" t="s">
        <v>11</v>
      </c>
      <c r="E14" s="4" t="n">
        <f aca="false">D1-2*D3</f>
        <v>0</v>
      </c>
    </row>
    <row r="15" customFormat="false" ht="15" hidden="false" customHeight="true" outlineLevel="0" collapsed="false">
      <c r="A15" s="5" t="s">
        <v>12</v>
      </c>
      <c r="E15" s="4" t="n">
        <f aca="false">D4+D3</f>
        <v>0</v>
      </c>
    </row>
    <row r="16" customFormat="false" ht="15" hidden="false" customHeight="true" outlineLevel="0" collapsed="false">
      <c r="A16" s="5" t="s">
        <v>13</v>
      </c>
      <c r="E16" s="4" t="n">
        <f aca="false">D2</f>
        <v>0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5" t="s">
        <v>15</v>
      </c>
    </row>
    <row r="19" customFormat="false" ht="15" hidden="false" customHeight="true" outlineLevel="0" collapsed="false">
      <c r="A19" s="5" t="s">
        <v>16</v>
      </c>
    </row>
    <row r="20" customFormat="false" ht="15" hidden="false" customHeight="true" outlineLevel="0" collapsed="false">
      <c r="A20" s="5" t="s">
        <v>17</v>
      </c>
    </row>
    <row r="21" customFormat="false" ht="15" hidden="false" customHeight="true" outlineLevel="0" collapsed="false">
      <c r="A21" s="5" t="s">
        <v>18</v>
      </c>
    </row>
    <row r="22" customFormat="false" ht="15" hidden="false" customHeight="true" outlineLevel="0" collapsed="false">
      <c r="A22" s="5" t="s">
        <v>19</v>
      </c>
    </row>
    <row r="23" customFormat="false" ht="15" hidden="false" customHeight="true" outlineLevel="0" collapsed="false">
      <c r="A23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2026-06-22T05:27:48Z</dcterms:created>
  <dc:creator>openpyxl</dc:creator>
  <dc:description/>
  <dc:language>en-US</dc:language>
  <cp:lastModifiedBy/>
  <dcterms:modified xsi:type="dcterms:W3CDTF">2026-06-22T05:32:16Z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